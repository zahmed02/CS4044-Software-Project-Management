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1ED3F74-1854-44DD-8005-A50036EF55B1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esource Sheet" sheetId="1" r:id="rId1"/>
    <sheet name="Cost Shee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3" l="1"/>
  <c r="G55" i="2"/>
  <c r="I56" i="2"/>
  <c r="G53" i="2"/>
  <c r="G52" i="2"/>
  <c r="G51" i="2"/>
  <c r="G50" i="2"/>
  <c r="G48" i="2"/>
  <c r="G47" i="2"/>
  <c r="G46" i="2"/>
  <c r="G45" i="2"/>
  <c r="G44" i="2"/>
  <c r="G43" i="2"/>
  <c r="G41" i="2"/>
  <c r="G40" i="2"/>
  <c r="G39" i="2"/>
  <c r="G38" i="2"/>
  <c r="G37" i="2"/>
  <c r="G36" i="2"/>
  <c r="G35" i="2"/>
  <c r="G33" i="2"/>
  <c r="G32" i="2"/>
  <c r="G31" i="2"/>
  <c r="G30" i="2"/>
  <c r="G29" i="2"/>
  <c r="G26" i="2"/>
  <c r="G25" i="2"/>
  <c r="G24" i="2"/>
  <c r="G23" i="2"/>
  <c r="G22" i="2"/>
  <c r="G19" i="2"/>
  <c r="G18" i="2"/>
  <c r="G17" i="2"/>
  <c r="G15" i="2"/>
  <c r="G14" i="2"/>
  <c r="G13" i="2"/>
  <c r="G12" i="2"/>
  <c r="G11" i="2"/>
  <c r="G9" i="2"/>
  <c r="G8" i="2"/>
  <c r="G7" i="2"/>
  <c r="G6" i="2"/>
  <c r="G5" i="2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G56" i="2" l="1"/>
  <c r="E22" i="3"/>
  <c r="E21" i="3"/>
  <c r="E20" i="3"/>
  <c r="H53" i="2"/>
  <c r="I48" i="2"/>
  <c r="H48" i="2"/>
  <c r="I41" i="2"/>
  <c r="I33" i="2"/>
  <c r="H33" i="2"/>
  <c r="E17" i="3"/>
  <c r="E16" i="3"/>
  <c r="I53" i="2"/>
  <c r="I9" i="2"/>
  <c r="E23" i="3"/>
  <c r="H41" i="2"/>
  <c r="G27" i="2"/>
  <c r="G20" i="2"/>
  <c r="H9" i="2"/>
  <c r="I15" i="2"/>
  <c r="H15" i="2"/>
  <c r="H27" i="2" l="1"/>
  <c r="I27" i="2"/>
  <c r="J27" i="2"/>
  <c r="E19" i="3"/>
  <c r="H20" i="2"/>
  <c r="J20" i="2"/>
  <c r="I20" i="2"/>
  <c r="E18" i="3"/>
  <c r="J53" i="2"/>
  <c r="J48" i="2"/>
  <c r="J41" i="2"/>
  <c r="J33" i="2"/>
  <c r="J15" i="2"/>
  <c r="J9" i="2"/>
  <c r="F19" i="3" l="1"/>
  <c r="G19" i="3"/>
  <c r="F18" i="3"/>
  <c r="G18" i="3"/>
  <c r="G23" i="3"/>
  <c r="F23" i="3"/>
  <c r="G22" i="3"/>
  <c r="F22" i="3"/>
  <c r="G21" i="3"/>
  <c r="F21" i="3"/>
  <c r="G20" i="3"/>
  <c r="F20" i="3"/>
  <c r="G17" i="3"/>
  <c r="F17" i="3"/>
  <c r="E27" i="3"/>
  <c r="G16" i="3"/>
  <c r="G24" i="3" s="1"/>
  <c r="F16" i="3"/>
  <c r="J55" i="2"/>
  <c r="E24" i="3"/>
  <c r="I55" i="2"/>
  <c r="H55" i="2"/>
  <c r="F24" i="3" l="1"/>
  <c r="J56" i="2"/>
  <c r="E30" i="3"/>
  <c r="E34" i="3"/>
  <c r="E29" i="3"/>
  <c r="E33" i="3"/>
  <c r="H56" i="2"/>
  <c r="E28" i="3"/>
  <c r="E32" i="3"/>
</calcChain>
</file>

<file path=xl/sharedStrings.xml><?xml version="1.0" encoding="utf-8"?>
<sst xmlns="http://schemas.openxmlformats.org/spreadsheetml/2006/main" count="170" uniqueCount="100">
  <si>
    <t>NutriLens — Resource Sheet</t>
  </si>
  <si>
    <t>CS4044 – Fundamentals of Project Management  |  Spring 2026  |  FAST-NUCES</t>
  </si>
  <si>
    <t>#</t>
  </si>
  <si>
    <t>Resource Name</t>
  </si>
  <si>
    <t>Role</t>
  </si>
  <si>
    <t>Type</t>
  </si>
  <si>
    <t>Std. Rate
(USD/hr)</t>
  </si>
  <si>
    <t>Ovt. Rate
(USD/hr)</t>
  </si>
  <si>
    <t>USD→PKR</t>
  </si>
  <si>
    <t>Std. Rate
(PKR/hr)</t>
  </si>
  <si>
    <t>Ovt. Rate
(PKR/hr)</t>
  </si>
  <si>
    <t>Hrs/Day</t>
  </si>
  <si>
    <t>Notes</t>
  </si>
  <si>
    <t>Project Manager (PM)</t>
  </si>
  <si>
    <t>Planning &amp; Coordination</t>
  </si>
  <si>
    <t>Work</t>
  </si>
  <si>
    <t>Oversees schedule, risk, stakeholders</t>
  </si>
  <si>
    <t>ML Engineer</t>
  </si>
  <si>
    <t>Machine Learning &amp; AI</t>
  </si>
  <si>
    <t>MobileNetV2, TFLite, A* planner, Gemini</t>
  </si>
  <si>
    <t>Backend Developer</t>
  </si>
  <si>
    <t>Flask API &amp; Firebase</t>
  </si>
  <si>
    <t>REST API, Firestore, Gemini integration</t>
  </si>
  <si>
    <t>Flutter Developer</t>
  </si>
  <si>
    <t>Mobile Frontend</t>
  </si>
  <si>
    <t>All Flutter screens, state management</t>
  </si>
  <si>
    <t>QA Engineer</t>
  </si>
  <si>
    <t>Testing &amp; Quality</t>
  </si>
  <si>
    <t>Unit, integration, UAT, performance tests</t>
  </si>
  <si>
    <t>UI/UX Designer</t>
  </si>
  <si>
    <t>Design &amp; Prototyping</t>
  </si>
  <si>
    <t>Wireframes, high-fi mockups, style guide</t>
  </si>
  <si>
    <t>DevOps Engineer</t>
  </si>
  <si>
    <t>CI/CD &amp; Deployment</t>
  </si>
  <si>
    <t>Railway/Render, GitHub CI/CD, monitoring</t>
  </si>
  <si>
    <t>* USD→PKR rate: 1 USD = 278 PKR (Mar 2026 assumption). Blue = hardcoded inputs. Yellow = exchange rate cell.</t>
  </si>
  <si>
    <t>NutriLens — Time-Phased Detailed Cost Sheet</t>
  </si>
  <si>
    <t>Project: Mar 1 2026 – Oct 29 2026  |  8 hrs/day  |  10% Contingency  |  15% Overhead  |  Rates in USD</t>
  </si>
  <si>
    <t>Phase</t>
  </si>
  <si>
    <t>Date Range</t>
  </si>
  <si>
    <t>Resource</t>
  </si>
  <si>
    <t>Days</t>
  </si>
  <si>
    <t>Rate ($/hr)</t>
  </si>
  <si>
    <t>Labor (USD)</t>
  </si>
  <si>
    <t>Contingency
(10%)</t>
  </si>
  <si>
    <t>Overhead
(15%)</t>
  </si>
  <si>
    <t>Phase Total
(USD)</t>
  </si>
  <si>
    <t>Initiation &amp; Planning</t>
  </si>
  <si>
    <t>Mar 2 – Apr 23</t>
  </si>
  <si>
    <t>PM</t>
  </si>
  <si>
    <t>Phase Subtotal</t>
  </si>
  <si>
    <t>Design</t>
  </si>
  <si>
    <t>Mar 2 – May 11</t>
  </si>
  <si>
    <t>ML Development</t>
  </si>
  <si>
    <t>Apr 24 – Jun 17</t>
  </si>
  <si>
    <t>Backend Development</t>
  </si>
  <si>
    <t>May 12 – Aug 21</t>
  </si>
  <si>
    <t>Frontend Flutter Dev</t>
  </si>
  <si>
    <t>Jun 18 – Jul 28</t>
  </si>
  <si>
    <t>Testing &amp; QA</t>
  </si>
  <si>
    <t>Aug 24 – Oct 2</t>
  </si>
  <si>
    <t>Deployment</t>
  </si>
  <si>
    <t>Jul 29 – Aug 18</t>
  </si>
  <si>
    <t>Project Closure</t>
  </si>
  <si>
    <t>Oct 5 – Oct 29</t>
  </si>
  <si>
    <t>GRAND TOTAL</t>
  </si>
  <si>
    <t>NutriLens — Project Budget Summary</t>
  </si>
  <si>
    <t>CS4044 – Fundamentals of Project Management  |  Spring 2026</t>
  </si>
  <si>
    <t>Project Name</t>
  </si>
  <si>
    <t>NutriLens – AI-Powered Food &amp; Macro Tracker</t>
  </si>
  <si>
    <t>Organization</t>
  </si>
  <si>
    <t>FAST-NUCES Karachi</t>
  </si>
  <si>
    <t>Course</t>
  </si>
  <si>
    <t>CS4044 – Fundamentals of Project Management</t>
  </si>
  <si>
    <t>Start Date</t>
  </si>
  <si>
    <t>End Date</t>
  </si>
  <si>
    <t>29th October 2026</t>
  </si>
  <si>
    <t>Duration</t>
  </si>
  <si>
    <t>~8 Months</t>
  </si>
  <si>
    <t>Team Size</t>
  </si>
  <si>
    <t>7 Resources</t>
  </si>
  <si>
    <t>Contingency</t>
  </si>
  <si>
    <t>10% per phase</t>
  </si>
  <si>
    <t>Overhead</t>
  </si>
  <si>
    <t>15% per phase (cloud, APIs, licenses)</t>
  </si>
  <si>
    <t>Exchange Rate</t>
  </si>
  <si>
    <t>1 USD = 278 PKR</t>
  </si>
  <si>
    <t>Phase Total
(PKR)</t>
  </si>
  <si>
    <t>Key Budget Metrics</t>
  </si>
  <si>
    <t>Total Labor Cost (USD)</t>
  </si>
  <si>
    <t>Total Contingency (USD)</t>
  </si>
  <si>
    <t>Total Overhead (USD)</t>
  </si>
  <si>
    <t>Grand Total Budget (USD)</t>
  </si>
  <si>
    <t>Grand Total Budget (PKR)</t>
  </si>
  <si>
    <t>Contingency as % of Labor</t>
  </si>
  <si>
    <t>Overhead as % of Labor</t>
  </si>
  <si>
    <t>Avg. Daily Cost (USD)</t>
  </si>
  <si>
    <t>* Overhead covers: Railway/Render hosting, Google Gemini API, Firebase Blaze plan, GitHub Pro, Figma, testing devices, and miscellaneous tools.</t>
  </si>
  <si>
    <t>GRAND TOTAL (PKR 1 USD = 278)</t>
  </si>
  <si>
    <t>2nd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</si>
</sst>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#,##0.00\ &quot;PKR&quot;"/>
    <numFmt numFmtId="166" formatCode="0.0%"/>
  </numFmts>
  <fonts count="1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565C0"/>
      <name val="Arial"/>
    </font>
    <font>
      <i/>
      <sz val="9"/>
      <color rgb="FF666666"/>
      <name val="Arial"/>
    </font>
    <font>
      <b/>
      <sz val="10"/>
      <color rgb="FF000000"/>
      <name val="Arial"/>
    </font>
    <font>
      <b/>
      <sz val="10"/>
      <color rgb="FF1A5C35"/>
      <name val="Arial"/>
    </font>
    <font>
      <b/>
      <sz val="12"/>
      <color rgb="FFFFFFFF"/>
      <name val="Arial"/>
    </font>
    <font>
      <b/>
      <sz val="11"/>
      <color rgb="FF000000"/>
      <name val="Arial"/>
    </font>
    <font>
      <b/>
      <sz val="11"/>
      <color rgb="FF1A5C35"/>
      <name val="Arial"/>
    </font>
    <font>
      <b/>
      <sz val="11"/>
      <color rgb="FFFFFFFF"/>
      <name val="Arial"/>
    </font>
    <font>
      <b/>
      <sz val="10"/>
      <color rgb="FF2C7A4B"/>
      <name val="Arial"/>
    </font>
    <font>
      <i/>
      <sz val="9"/>
      <color rgb="FF555555"/>
      <name val="Arial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5C35"/>
      </patternFill>
    </fill>
    <fill>
      <patternFill patternType="solid">
        <fgColor rgb="FF2C7A4B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right" vertical="center"/>
    </xf>
    <xf numFmtId="164" fontId="7" fillId="8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165" fontId="13" fillId="8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5" fontId="11" fillId="8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4" fillId="0" borderId="0" xfId="0" applyFont="1" applyAlignment="1">
      <alignment horizontal="left" wrapText="1"/>
    </xf>
    <xf numFmtId="0" fontId="1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6" fontId="11" fillId="7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164" fontId="11" fillId="8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6" fontId="11" fillId="8" borderId="1" xfId="0" applyNumberFormat="1" applyFont="1" applyFill="1" applyBorder="1" applyAlignment="1">
      <alignment horizontal="center" vertical="center"/>
    </xf>
    <xf numFmtId="165" fontId="11" fillId="7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zoomScale="62" zoomScaleNormal="62" workbookViewId="0">
      <selection activeCell="E7" sqref="E7"/>
    </sheetView>
  </sheetViews>
  <sheetFormatPr defaultRowHeight="14.5" x14ac:dyDescent="0.35"/>
  <cols>
    <col min="1" max="1" width="4" customWidth="1"/>
    <col min="2" max="2" width="20" customWidth="1"/>
    <col min="3" max="3" width="22" customWidth="1"/>
    <col min="4" max="4" width="10" customWidth="1"/>
    <col min="5" max="6" width="14" customWidth="1"/>
    <col min="7" max="7" width="12" customWidth="1"/>
    <col min="8" max="9" width="16" customWidth="1"/>
    <col min="10" max="10" width="10" customWidth="1"/>
    <col min="11" max="11" width="30" customWidth="1"/>
  </cols>
  <sheetData>
    <row r="1" spans="1:11" ht="34" customHeight="1" x14ac:dyDescent="0.3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8" customHeight="1" x14ac:dyDescent="0.35">
      <c r="A2" s="37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8" customHeight="1" x14ac:dyDescent="0.35"/>
    <row r="4" spans="1:11" ht="3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2" customHeight="1" x14ac:dyDescent="0.35">
      <c r="A5" s="2">
        <v>1</v>
      </c>
      <c r="B5" s="3" t="s">
        <v>13</v>
      </c>
      <c r="C5" s="3" t="s">
        <v>14</v>
      </c>
      <c r="D5" s="4" t="s">
        <v>15</v>
      </c>
      <c r="E5" s="5">
        <v>8</v>
      </c>
      <c r="F5" s="5">
        <v>12</v>
      </c>
      <c r="G5" s="6">
        <v>278</v>
      </c>
      <c r="H5" s="7">
        <f t="shared" ref="H5:H11" si="0">E5*G5</f>
        <v>2224</v>
      </c>
      <c r="I5" s="7">
        <f t="shared" ref="I5:I11" si="1">F5*G5</f>
        <v>3336</v>
      </c>
      <c r="J5" s="2">
        <v>8</v>
      </c>
      <c r="K5" s="8" t="s">
        <v>16</v>
      </c>
    </row>
    <row r="6" spans="1:11" ht="22" customHeight="1" x14ac:dyDescent="0.35">
      <c r="A6" s="9">
        <v>2</v>
      </c>
      <c r="B6" s="10" t="s">
        <v>17</v>
      </c>
      <c r="C6" s="10" t="s">
        <v>18</v>
      </c>
      <c r="D6" s="11" t="s">
        <v>15</v>
      </c>
      <c r="E6" s="12">
        <v>10</v>
      </c>
      <c r="F6" s="12">
        <v>15</v>
      </c>
      <c r="G6" s="6">
        <v>278</v>
      </c>
      <c r="H6" s="13">
        <f t="shared" si="0"/>
        <v>2780</v>
      </c>
      <c r="I6" s="13">
        <f t="shared" si="1"/>
        <v>4170</v>
      </c>
      <c r="J6" s="9">
        <v>8</v>
      </c>
      <c r="K6" s="14" t="s">
        <v>19</v>
      </c>
    </row>
    <row r="7" spans="1:11" ht="22" customHeight="1" x14ac:dyDescent="0.35">
      <c r="A7" s="2">
        <v>3</v>
      </c>
      <c r="B7" s="3" t="s">
        <v>20</v>
      </c>
      <c r="C7" s="3" t="s">
        <v>21</v>
      </c>
      <c r="D7" s="4" t="s">
        <v>15</v>
      </c>
      <c r="E7" s="5">
        <v>8</v>
      </c>
      <c r="F7" s="5">
        <v>12</v>
      </c>
      <c r="G7" s="6">
        <v>278</v>
      </c>
      <c r="H7" s="7">
        <f t="shared" si="0"/>
        <v>2224</v>
      </c>
      <c r="I7" s="7">
        <f t="shared" si="1"/>
        <v>3336</v>
      </c>
      <c r="J7" s="2">
        <v>8</v>
      </c>
      <c r="K7" s="8" t="s">
        <v>22</v>
      </c>
    </row>
    <row r="8" spans="1:11" ht="22" customHeight="1" x14ac:dyDescent="0.35">
      <c r="A8" s="9">
        <v>4</v>
      </c>
      <c r="B8" s="10" t="s">
        <v>23</v>
      </c>
      <c r="C8" s="10" t="s">
        <v>24</v>
      </c>
      <c r="D8" s="11" t="s">
        <v>15</v>
      </c>
      <c r="E8" s="12">
        <v>8</v>
      </c>
      <c r="F8" s="12">
        <v>12</v>
      </c>
      <c r="G8" s="6">
        <v>278</v>
      </c>
      <c r="H8" s="13">
        <f t="shared" si="0"/>
        <v>2224</v>
      </c>
      <c r="I8" s="13">
        <f t="shared" si="1"/>
        <v>3336</v>
      </c>
      <c r="J8" s="9">
        <v>8</v>
      </c>
      <c r="K8" s="14" t="s">
        <v>25</v>
      </c>
    </row>
    <row r="9" spans="1:11" ht="22" customHeight="1" x14ac:dyDescent="0.35">
      <c r="A9" s="2">
        <v>5</v>
      </c>
      <c r="B9" s="3" t="s">
        <v>26</v>
      </c>
      <c r="C9" s="3" t="s">
        <v>27</v>
      </c>
      <c r="D9" s="4" t="s">
        <v>15</v>
      </c>
      <c r="E9" s="5">
        <v>5</v>
      </c>
      <c r="F9" s="5">
        <v>8</v>
      </c>
      <c r="G9" s="6">
        <v>278</v>
      </c>
      <c r="H9" s="7">
        <f t="shared" si="0"/>
        <v>1390</v>
      </c>
      <c r="I9" s="7">
        <f t="shared" si="1"/>
        <v>2224</v>
      </c>
      <c r="J9" s="2">
        <v>8</v>
      </c>
      <c r="K9" s="8" t="s">
        <v>28</v>
      </c>
    </row>
    <row r="10" spans="1:11" ht="22" customHeight="1" x14ac:dyDescent="0.35">
      <c r="A10" s="9">
        <v>6</v>
      </c>
      <c r="B10" s="10" t="s">
        <v>29</v>
      </c>
      <c r="C10" s="10" t="s">
        <v>30</v>
      </c>
      <c r="D10" s="11" t="s">
        <v>15</v>
      </c>
      <c r="E10" s="12">
        <v>6</v>
      </c>
      <c r="F10" s="12">
        <v>9</v>
      </c>
      <c r="G10" s="6">
        <v>278</v>
      </c>
      <c r="H10" s="13">
        <f t="shared" si="0"/>
        <v>1668</v>
      </c>
      <c r="I10" s="13">
        <f t="shared" si="1"/>
        <v>2502</v>
      </c>
      <c r="J10" s="9">
        <v>8</v>
      </c>
      <c r="K10" s="14" t="s">
        <v>31</v>
      </c>
    </row>
    <row r="11" spans="1:11" ht="22" customHeight="1" x14ac:dyDescent="0.35">
      <c r="A11" s="2">
        <v>7</v>
      </c>
      <c r="B11" s="3" t="s">
        <v>32</v>
      </c>
      <c r="C11" s="3" t="s">
        <v>33</v>
      </c>
      <c r="D11" s="4" t="s">
        <v>15</v>
      </c>
      <c r="E11" s="5">
        <v>7</v>
      </c>
      <c r="F11" s="5">
        <v>10</v>
      </c>
      <c r="G11" s="6">
        <v>278</v>
      </c>
      <c r="H11" s="7">
        <f t="shared" si="0"/>
        <v>1946</v>
      </c>
      <c r="I11" s="7">
        <f t="shared" si="1"/>
        <v>2780</v>
      </c>
      <c r="J11" s="2">
        <v>8</v>
      </c>
      <c r="K11" s="8" t="s">
        <v>34</v>
      </c>
    </row>
    <row r="13" spans="1:11" x14ac:dyDescent="0.35">
      <c r="A13" s="39" t="s">
        <v>35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</sheetData>
  <mergeCells count="3">
    <mergeCell ref="A2:K2"/>
    <mergeCell ref="A1:K1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showGridLines="0" tabSelected="1" zoomScale="64" zoomScaleNormal="100" workbookViewId="0">
      <selection activeCell="O55" sqref="O55"/>
    </sheetView>
  </sheetViews>
  <sheetFormatPr defaultRowHeight="14.5" x14ac:dyDescent="0.35"/>
  <cols>
    <col min="1" max="1" width="22" customWidth="1"/>
    <col min="2" max="2" width="18" customWidth="1"/>
    <col min="3" max="3" width="20" customWidth="1"/>
    <col min="4" max="5" width="8" customWidth="1"/>
    <col min="6" max="6" width="12" customWidth="1"/>
    <col min="7" max="7" width="17.26953125" customWidth="1"/>
    <col min="8" max="8" width="17.08984375" customWidth="1"/>
    <col min="9" max="9" width="16.453125" customWidth="1"/>
    <col min="10" max="10" width="19" customWidth="1"/>
  </cols>
  <sheetData>
    <row r="1" spans="1:10" ht="34" customHeight="1" x14ac:dyDescent="0.35">
      <c r="A1" s="33" t="s">
        <v>36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" customHeight="1" x14ac:dyDescent="0.35">
      <c r="A2" s="37" t="s">
        <v>37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ht="8" customHeight="1" x14ac:dyDescent="0.35"/>
    <row r="4" spans="1:10" ht="38" customHeight="1" x14ac:dyDescent="0.35">
      <c r="A4" s="1" t="s">
        <v>38</v>
      </c>
      <c r="B4" s="1" t="s">
        <v>39</v>
      </c>
      <c r="C4" s="1" t="s">
        <v>40</v>
      </c>
      <c r="D4" s="1" t="s">
        <v>41</v>
      </c>
      <c r="E4" s="1" t="s">
        <v>11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</row>
    <row r="5" spans="1:10" ht="20" customHeight="1" x14ac:dyDescent="0.35">
      <c r="A5" s="15" t="s">
        <v>47</v>
      </c>
      <c r="B5" s="16" t="s">
        <v>48</v>
      </c>
      <c r="C5" s="10" t="s">
        <v>49</v>
      </c>
      <c r="D5" s="9">
        <v>38</v>
      </c>
      <c r="E5" s="9">
        <v>8</v>
      </c>
      <c r="F5" s="12">
        <v>8</v>
      </c>
      <c r="G5" s="17">
        <f>D5*E5*F5</f>
        <v>2432</v>
      </c>
      <c r="H5" s="11"/>
      <c r="I5" s="11"/>
      <c r="J5" s="11"/>
    </row>
    <row r="6" spans="1:10" ht="20" customHeight="1" x14ac:dyDescent="0.35">
      <c r="A6" s="18"/>
      <c r="B6" s="18"/>
      <c r="C6" s="3" t="s">
        <v>17</v>
      </c>
      <c r="D6" s="2">
        <v>5</v>
      </c>
      <c r="E6" s="2">
        <v>8</v>
      </c>
      <c r="F6" s="5">
        <v>10</v>
      </c>
      <c r="G6" s="19">
        <f>D6*E6*F6</f>
        <v>400</v>
      </c>
      <c r="H6" s="4"/>
      <c r="I6" s="4"/>
      <c r="J6" s="4"/>
    </row>
    <row r="7" spans="1:10" ht="20" customHeight="1" x14ac:dyDescent="0.35">
      <c r="A7" s="18"/>
      <c r="B7" s="18"/>
      <c r="C7" s="10" t="s">
        <v>20</v>
      </c>
      <c r="D7" s="9">
        <v>3</v>
      </c>
      <c r="E7" s="9">
        <v>8</v>
      </c>
      <c r="F7" s="12">
        <v>8</v>
      </c>
      <c r="G7" s="17">
        <f>D7*E7*F7</f>
        <v>192</v>
      </c>
      <c r="H7" s="11"/>
      <c r="I7" s="11"/>
      <c r="J7" s="11"/>
    </row>
    <row r="8" spans="1:10" ht="20" customHeight="1" x14ac:dyDescent="0.35">
      <c r="A8" s="18"/>
      <c r="B8" s="18"/>
      <c r="C8" s="3" t="s">
        <v>32</v>
      </c>
      <c r="D8" s="2">
        <v>2</v>
      </c>
      <c r="E8" s="2">
        <v>8</v>
      </c>
      <c r="F8" s="5">
        <v>7</v>
      </c>
      <c r="G8" s="19">
        <f>D8*E8*F8</f>
        <v>112</v>
      </c>
      <c r="H8" s="4"/>
      <c r="I8" s="4"/>
      <c r="J8" s="4"/>
    </row>
    <row r="9" spans="1:10" ht="22" customHeight="1" x14ac:dyDescent="0.35">
      <c r="A9" s="18"/>
      <c r="B9" s="18"/>
      <c r="C9" s="20" t="s">
        <v>50</v>
      </c>
      <c r="D9" s="18"/>
      <c r="E9" s="18"/>
      <c r="F9" s="18"/>
      <c r="G9" s="21">
        <f>SUM(G5,G6,G7,G8)</f>
        <v>3136</v>
      </c>
      <c r="H9" s="21">
        <f>G9*0.1</f>
        <v>313.60000000000002</v>
      </c>
      <c r="I9" s="21">
        <f>G9*0.15</f>
        <v>470.4</v>
      </c>
      <c r="J9" s="22">
        <f>G9+H9+I9</f>
        <v>3920</v>
      </c>
    </row>
    <row r="11" spans="1:10" ht="20" customHeight="1" x14ac:dyDescent="0.35">
      <c r="A11" s="15" t="s">
        <v>51</v>
      </c>
      <c r="B11" s="16" t="s">
        <v>52</v>
      </c>
      <c r="C11" s="10" t="s">
        <v>29</v>
      </c>
      <c r="D11" s="9">
        <v>30</v>
      </c>
      <c r="E11" s="9">
        <v>8</v>
      </c>
      <c r="F11" s="12">
        <v>6</v>
      </c>
      <c r="G11" s="17">
        <f>D11*E11*F11</f>
        <v>1440</v>
      </c>
      <c r="H11" s="11"/>
      <c r="I11" s="11"/>
      <c r="J11" s="11"/>
    </row>
    <row r="12" spans="1:10" ht="20" customHeight="1" x14ac:dyDescent="0.35">
      <c r="A12" s="18"/>
      <c r="B12" s="18"/>
      <c r="C12" s="3" t="s">
        <v>20</v>
      </c>
      <c r="D12" s="2">
        <v>15</v>
      </c>
      <c r="E12" s="2">
        <v>8</v>
      </c>
      <c r="F12" s="5">
        <v>8</v>
      </c>
      <c r="G12" s="19">
        <f>D12*E12*F12</f>
        <v>960</v>
      </c>
      <c r="H12" s="4"/>
      <c r="I12" s="4"/>
      <c r="J12" s="4"/>
    </row>
    <row r="13" spans="1:10" ht="20" customHeight="1" x14ac:dyDescent="0.35">
      <c r="A13" s="18"/>
      <c r="B13" s="18"/>
      <c r="C13" s="10" t="s">
        <v>17</v>
      </c>
      <c r="D13" s="9">
        <v>8</v>
      </c>
      <c r="E13" s="9">
        <v>8</v>
      </c>
      <c r="F13" s="12">
        <v>10</v>
      </c>
      <c r="G13" s="17">
        <f>D13*E13*F13</f>
        <v>640</v>
      </c>
      <c r="H13" s="11"/>
      <c r="I13" s="11"/>
      <c r="J13" s="11"/>
    </row>
    <row r="14" spans="1:10" ht="20" customHeight="1" x14ac:dyDescent="0.35">
      <c r="A14" s="18"/>
      <c r="B14" s="18"/>
      <c r="C14" s="3" t="s">
        <v>49</v>
      </c>
      <c r="D14" s="2">
        <v>6</v>
      </c>
      <c r="E14" s="2">
        <v>8</v>
      </c>
      <c r="F14" s="5">
        <v>8</v>
      </c>
      <c r="G14" s="19">
        <f>D14*E14*F14</f>
        <v>384</v>
      </c>
      <c r="H14" s="4"/>
      <c r="I14" s="4"/>
      <c r="J14" s="4"/>
    </row>
    <row r="15" spans="1:10" ht="22" customHeight="1" x14ac:dyDescent="0.35">
      <c r="A15" s="18"/>
      <c r="B15" s="18"/>
      <c r="C15" s="20" t="s">
        <v>50</v>
      </c>
      <c r="D15" s="18"/>
      <c r="E15" s="18"/>
      <c r="F15" s="18"/>
      <c r="G15" s="21">
        <f>SUM(G11,G12,G13,G14)</f>
        <v>3424</v>
      </c>
      <c r="H15" s="21">
        <f>G15*0.1</f>
        <v>342.40000000000003</v>
      </c>
      <c r="I15" s="21">
        <f>G15*0.15</f>
        <v>513.6</v>
      </c>
      <c r="J15" s="22">
        <f>G15+H15+I15</f>
        <v>4280</v>
      </c>
    </row>
    <row r="17" spans="1:10" ht="20" customHeight="1" x14ac:dyDescent="0.35">
      <c r="A17" s="15" t="s">
        <v>53</v>
      </c>
      <c r="B17" s="16" t="s">
        <v>54</v>
      </c>
      <c r="C17" s="10" t="s">
        <v>17</v>
      </c>
      <c r="D17" s="9">
        <v>35</v>
      </c>
      <c r="E17" s="9">
        <v>8</v>
      </c>
      <c r="F17" s="12">
        <v>10</v>
      </c>
      <c r="G17" s="17">
        <f>D17*E17*F17</f>
        <v>2800</v>
      </c>
      <c r="H17" s="11"/>
      <c r="I17" s="11"/>
      <c r="J17" s="11"/>
    </row>
    <row r="18" spans="1:10" ht="20" customHeight="1" x14ac:dyDescent="0.35">
      <c r="A18" s="18"/>
      <c r="B18" s="18"/>
      <c r="C18" s="3" t="s">
        <v>32</v>
      </c>
      <c r="D18" s="2">
        <v>3</v>
      </c>
      <c r="E18" s="2">
        <v>8</v>
      </c>
      <c r="F18" s="5">
        <v>7</v>
      </c>
      <c r="G18" s="19">
        <f>D18*E18*F18</f>
        <v>168</v>
      </c>
      <c r="H18" s="4"/>
      <c r="I18" s="4"/>
      <c r="J18" s="4"/>
    </row>
    <row r="19" spans="1:10" ht="20" customHeight="1" x14ac:dyDescent="0.35">
      <c r="A19" s="18"/>
      <c r="B19" s="18"/>
      <c r="C19" s="10" t="s">
        <v>26</v>
      </c>
      <c r="D19" s="9">
        <v>5</v>
      </c>
      <c r="E19" s="9">
        <v>8</v>
      </c>
      <c r="F19" s="12">
        <v>5</v>
      </c>
      <c r="G19" s="17">
        <f>D19*E19*F19</f>
        <v>200</v>
      </c>
      <c r="H19" s="11"/>
      <c r="I19" s="11"/>
      <c r="J19" s="11"/>
    </row>
    <row r="20" spans="1:10" ht="22" customHeight="1" x14ac:dyDescent="0.35">
      <c r="A20" s="18"/>
      <c r="B20" s="18"/>
      <c r="C20" s="20" t="s">
        <v>50</v>
      </c>
      <c r="D20" s="18"/>
      <c r="E20" s="18"/>
      <c r="F20" s="18"/>
      <c r="G20" s="21">
        <f>SUM(G17,G18,G19)</f>
        <v>3168</v>
      </c>
      <c r="H20" s="21">
        <f>G20*0.1</f>
        <v>316.8</v>
      </c>
      <c r="I20" s="21">
        <f>G20*0.15</f>
        <v>475.2</v>
      </c>
      <c r="J20" s="22">
        <f>G20+H20+I20</f>
        <v>3960</v>
      </c>
    </row>
    <row r="22" spans="1:10" ht="20" customHeight="1" x14ac:dyDescent="0.35">
      <c r="A22" s="15" t="s">
        <v>55</v>
      </c>
      <c r="B22" s="16" t="s">
        <v>56</v>
      </c>
      <c r="C22" s="10" t="s">
        <v>20</v>
      </c>
      <c r="D22" s="9">
        <v>68</v>
      </c>
      <c r="E22" s="9">
        <v>8</v>
      </c>
      <c r="F22" s="12">
        <v>8</v>
      </c>
      <c r="G22" s="17">
        <f>D22*E22*F22</f>
        <v>4352</v>
      </c>
      <c r="H22" s="11"/>
      <c r="I22" s="11"/>
      <c r="J22" s="11"/>
    </row>
    <row r="23" spans="1:10" ht="20" customHeight="1" x14ac:dyDescent="0.35">
      <c r="A23" s="18"/>
      <c r="B23" s="18"/>
      <c r="C23" s="3" t="s">
        <v>17</v>
      </c>
      <c r="D23" s="2">
        <v>10</v>
      </c>
      <c r="E23" s="2">
        <v>8</v>
      </c>
      <c r="F23" s="5">
        <v>10</v>
      </c>
      <c r="G23" s="19">
        <f>D23*E23*F23</f>
        <v>800</v>
      </c>
      <c r="H23" s="4"/>
      <c r="I23" s="4"/>
      <c r="J23" s="4"/>
    </row>
    <row r="24" spans="1:10" ht="20" customHeight="1" x14ac:dyDescent="0.35">
      <c r="A24" s="18"/>
      <c r="B24" s="18"/>
      <c r="C24" s="10" t="s">
        <v>26</v>
      </c>
      <c r="D24" s="9">
        <v>15</v>
      </c>
      <c r="E24" s="9">
        <v>8</v>
      </c>
      <c r="F24" s="12">
        <v>5</v>
      </c>
      <c r="G24" s="17">
        <f>D24*E24*F24</f>
        <v>600</v>
      </c>
      <c r="H24" s="11"/>
      <c r="I24" s="11"/>
      <c r="J24" s="11"/>
    </row>
    <row r="25" spans="1:10" ht="20" customHeight="1" x14ac:dyDescent="0.35">
      <c r="A25" s="18"/>
      <c r="B25" s="18"/>
      <c r="C25" s="3" t="s">
        <v>32</v>
      </c>
      <c r="D25" s="2">
        <v>8</v>
      </c>
      <c r="E25" s="2">
        <v>8</v>
      </c>
      <c r="F25" s="5">
        <v>7</v>
      </c>
      <c r="G25" s="19">
        <f>D25*E25*F25</f>
        <v>448</v>
      </c>
      <c r="H25" s="4"/>
      <c r="I25" s="4"/>
      <c r="J25" s="4"/>
    </row>
    <row r="26" spans="1:10" ht="20" customHeight="1" x14ac:dyDescent="0.35">
      <c r="A26" s="18"/>
      <c r="B26" s="18"/>
      <c r="C26" s="10" t="s">
        <v>49</v>
      </c>
      <c r="D26" s="9">
        <v>5</v>
      </c>
      <c r="E26" s="9">
        <v>8</v>
      </c>
      <c r="F26" s="12">
        <v>8</v>
      </c>
      <c r="G26" s="17">
        <f>D26*E26*F26</f>
        <v>320</v>
      </c>
      <c r="H26" s="11"/>
      <c r="I26" s="11"/>
      <c r="J26" s="11"/>
    </row>
    <row r="27" spans="1:10" ht="22" customHeight="1" x14ac:dyDescent="0.35">
      <c r="A27" s="18"/>
      <c r="B27" s="18"/>
      <c r="C27" s="20" t="s">
        <v>50</v>
      </c>
      <c r="D27" s="18"/>
      <c r="E27" s="18"/>
      <c r="F27" s="18"/>
      <c r="G27" s="21">
        <f>SUM(G22,G23,G24,G25,G26)</f>
        <v>6520</v>
      </c>
      <c r="H27" s="21">
        <f>G27*0.1</f>
        <v>652</v>
      </c>
      <c r="I27" s="21">
        <f>G27*0.15</f>
        <v>978</v>
      </c>
      <c r="J27" s="22">
        <f>G27+H27+I27</f>
        <v>8150</v>
      </c>
    </row>
    <row r="29" spans="1:10" ht="20" customHeight="1" x14ac:dyDescent="0.35">
      <c r="A29" s="15" t="s">
        <v>57</v>
      </c>
      <c r="B29" s="16" t="s">
        <v>58</v>
      </c>
      <c r="C29" s="10" t="s">
        <v>23</v>
      </c>
      <c r="D29" s="9">
        <v>27</v>
      </c>
      <c r="E29" s="9">
        <v>8</v>
      </c>
      <c r="F29" s="12">
        <v>8</v>
      </c>
      <c r="G29" s="17">
        <f>D29*E29*F29</f>
        <v>1728</v>
      </c>
      <c r="H29" s="11"/>
      <c r="I29" s="11"/>
      <c r="J29" s="11"/>
    </row>
    <row r="30" spans="1:10" ht="20" customHeight="1" x14ac:dyDescent="0.35">
      <c r="A30" s="18"/>
      <c r="B30" s="18"/>
      <c r="C30" s="3" t="s">
        <v>29</v>
      </c>
      <c r="D30" s="2">
        <v>8</v>
      </c>
      <c r="E30" s="2">
        <v>8</v>
      </c>
      <c r="F30" s="5">
        <v>6</v>
      </c>
      <c r="G30" s="19">
        <f>D30*E30*F30</f>
        <v>384</v>
      </c>
      <c r="H30" s="4"/>
      <c r="I30" s="4"/>
      <c r="J30" s="4"/>
    </row>
    <row r="31" spans="1:10" ht="20" customHeight="1" x14ac:dyDescent="0.35">
      <c r="A31" s="18"/>
      <c r="B31" s="18"/>
      <c r="C31" s="10" t="s">
        <v>26</v>
      </c>
      <c r="D31" s="9">
        <v>5</v>
      </c>
      <c r="E31" s="9">
        <v>8</v>
      </c>
      <c r="F31" s="12">
        <v>5</v>
      </c>
      <c r="G31" s="17">
        <f>D31*E31*F31</f>
        <v>200</v>
      </c>
      <c r="H31" s="11"/>
      <c r="I31" s="11"/>
      <c r="J31" s="11"/>
    </row>
    <row r="32" spans="1:10" ht="20" customHeight="1" x14ac:dyDescent="0.35">
      <c r="A32" s="18"/>
      <c r="B32" s="18"/>
      <c r="C32" s="3" t="s">
        <v>20</v>
      </c>
      <c r="D32" s="2">
        <v>5</v>
      </c>
      <c r="E32" s="2">
        <v>8</v>
      </c>
      <c r="F32" s="5">
        <v>8</v>
      </c>
      <c r="G32" s="19">
        <f>D32*E32*F32</f>
        <v>320</v>
      </c>
      <c r="H32" s="4"/>
      <c r="I32" s="4"/>
      <c r="J32" s="4"/>
    </row>
    <row r="33" spans="1:10" ht="22" customHeight="1" x14ac:dyDescent="0.35">
      <c r="A33" s="18"/>
      <c r="B33" s="18"/>
      <c r="C33" s="20" t="s">
        <v>50</v>
      </c>
      <c r="D33" s="18"/>
      <c r="E33" s="18"/>
      <c r="F33" s="18"/>
      <c r="G33" s="21">
        <f>SUM(G29,G30,G31,G32)</f>
        <v>2632</v>
      </c>
      <c r="H33" s="21">
        <f>G33*0.1</f>
        <v>263.2</v>
      </c>
      <c r="I33" s="21">
        <f>G33*0.15</f>
        <v>394.8</v>
      </c>
      <c r="J33" s="22">
        <f>G33+H33+I33</f>
        <v>3290</v>
      </c>
    </row>
    <row r="35" spans="1:10" ht="20" customHeight="1" x14ac:dyDescent="0.35">
      <c r="A35" s="15" t="s">
        <v>59</v>
      </c>
      <c r="B35" s="16" t="s">
        <v>60</v>
      </c>
      <c r="C35" s="10" t="s">
        <v>26</v>
      </c>
      <c r="D35" s="9">
        <v>29</v>
      </c>
      <c r="E35" s="9">
        <v>8</v>
      </c>
      <c r="F35" s="12">
        <v>5</v>
      </c>
      <c r="G35" s="17">
        <f t="shared" ref="G35:G40" si="0">D35*E35*F35</f>
        <v>1160</v>
      </c>
      <c r="H35" s="11"/>
      <c r="I35" s="11"/>
      <c r="J35" s="11"/>
    </row>
    <row r="36" spans="1:10" ht="20" customHeight="1" x14ac:dyDescent="0.35">
      <c r="A36" s="18"/>
      <c r="B36" s="18"/>
      <c r="C36" s="3" t="s">
        <v>23</v>
      </c>
      <c r="D36" s="2">
        <v>10</v>
      </c>
      <c r="E36" s="2">
        <v>8</v>
      </c>
      <c r="F36" s="5">
        <v>8</v>
      </c>
      <c r="G36" s="19">
        <f t="shared" si="0"/>
        <v>640</v>
      </c>
      <c r="H36" s="4"/>
      <c r="I36" s="4"/>
      <c r="J36" s="4"/>
    </row>
    <row r="37" spans="1:10" ht="20" customHeight="1" x14ac:dyDescent="0.35">
      <c r="A37" s="18"/>
      <c r="B37" s="18"/>
      <c r="C37" s="10" t="s">
        <v>17</v>
      </c>
      <c r="D37" s="9">
        <v>5</v>
      </c>
      <c r="E37" s="9">
        <v>8</v>
      </c>
      <c r="F37" s="12">
        <v>10</v>
      </c>
      <c r="G37" s="17">
        <f t="shared" si="0"/>
        <v>400</v>
      </c>
      <c r="H37" s="11"/>
      <c r="I37" s="11"/>
      <c r="J37" s="11"/>
    </row>
    <row r="38" spans="1:10" ht="20" customHeight="1" x14ac:dyDescent="0.35">
      <c r="A38" s="18"/>
      <c r="B38" s="18"/>
      <c r="C38" s="3" t="s">
        <v>20</v>
      </c>
      <c r="D38" s="2">
        <v>5</v>
      </c>
      <c r="E38" s="2">
        <v>8</v>
      </c>
      <c r="F38" s="5">
        <v>8</v>
      </c>
      <c r="G38" s="19">
        <f t="shared" si="0"/>
        <v>320</v>
      </c>
      <c r="H38" s="4"/>
      <c r="I38" s="4"/>
      <c r="J38" s="4"/>
    </row>
    <row r="39" spans="1:10" ht="20" customHeight="1" x14ac:dyDescent="0.35">
      <c r="A39" s="18"/>
      <c r="B39" s="18"/>
      <c r="C39" s="10" t="s">
        <v>32</v>
      </c>
      <c r="D39" s="9">
        <v>3</v>
      </c>
      <c r="E39" s="9">
        <v>8</v>
      </c>
      <c r="F39" s="12">
        <v>7</v>
      </c>
      <c r="G39" s="17">
        <f t="shared" si="0"/>
        <v>168</v>
      </c>
      <c r="H39" s="11"/>
      <c r="I39" s="11"/>
      <c r="J39" s="11"/>
    </row>
    <row r="40" spans="1:10" ht="20" customHeight="1" x14ac:dyDescent="0.35">
      <c r="A40" s="18"/>
      <c r="B40" s="18"/>
      <c r="C40" s="3" t="s">
        <v>49</v>
      </c>
      <c r="D40" s="2">
        <v>5</v>
      </c>
      <c r="E40" s="2">
        <v>8</v>
      </c>
      <c r="F40" s="5">
        <v>8</v>
      </c>
      <c r="G40" s="19">
        <f t="shared" si="0"/>
        <v>320</v>
      </c>
      <c r="H40" s="4"/>
      <c r="I40" s="4"/>
      <c r="J40" s="4"/>
    </row>
    <row r="41" spans="1:10" ht="22" customHeight="1" x14ac:dyDescent="0.35">
      <c r="A41" s="18"/>
      <c r="B41" s="18"/>
      <c r="C41" s="20" t="s">
        <v>50</v>
      </c>
      <c r="D41" s="18"/>
      <c r="E41" s="18"/>
      <c r="F41" s="18"/>
      <c r="G41" s="21">
        <f>SUM(G35,G36,G37,G38,G39,G40)</f>
        <v>3008</v>
      </c>
      <c r="H41" s="21">
        <f>G41*0.1</f>
        <v>300.8</v>
      </c>
      <c r="I41" s="21">
        <f>G41*0.15</f>
        <v>451.2</v>
      </c>
      <c r="J41" s="22">
        <f>G41+H41+I41</f>
        <v>3760</v>
      </c>
    </row>
    <row r="43" spans="1:10" ht="20" customHeight="1" x14ac:dyDescent="0.35">
      <c r="A43" s="15" t="s">
        <v>61</v>
      </c>
      <c r="B43" s="16" t="s">
        <v>62</v>
      </c>
      <c r="C43" s="10" t="s">
        <v>32</v>
      </c>
      <c r="D43" s="9">
        <v>14</v>
      </c>
      <c r="E43" s="9">
        <v>8</v>
      </c>
      <c r="F43" s="12">
        <v>7</v>
      </c>
      <c r="G43" s="17">
        <f>D43*E43*F43</f>
        <v>784</v>
      </c>
      <c r="H43" s="11"/>
      <c r="I43" s="11"/>
      <c r="J43" s="11"/>
    </row>
    <row r="44" spans="1:10" ht="20" customHeight="1" x14ac:dyDescent="0.35">
      <c r="A44" s="18"/>
      <c r="B44" s="18"/>
      <c r="C44" s="3" t="s">
        <v>23</v>
      </c>
      <c r="D44" s="2">
        <v>5</v>
      </c>
      <c r="E44" s="2">
        <v>8</v>
      </c>
      <c r="F44" s="5">
        <v>8</v>
      </c>
      <c r="G44" s="19">
        <f>D44*E44*F44</f>
        <v>320</v>
      </c>
      <c r="H44" s="4"/>
      <c r="I44" s="4"/>
      <c r="J44" s="4"/>
    </row>
    <row r="45" spans="1:10" ht="20" customHeight="1" x14ac:dyDescent="0.35">
      <c r="A45" s="18"/>
      <c r="B45" s="18"/>
      <c r="C45" s="10" t="s">
        <v>20</v>
      </c>
      <c r="D45" s="9">
        <v>5</v>
      </c>
      <c r="E45" s="9">
        <v>8</v>
      </c>
      <c r="F45" s="12">
        <v>8</v>
      </c>
      <c r="G45" s="17">
        <f>D45*E45*F45</f>
        <v>320</v>
      </c>
      <c r="H45" s="11"/>
      <c r="I45" s="11"/>
      <c r="J45" s="11"/>
    </row>
    <row r="46" spans="1:10" ht="20" customHeight="1" x14ac:dyDescent="0.35">
      <c r="A46" s="18"/>
      <c r="B46" s="18"/>
      <c r="C46" s="3" t="s">
        <v>49</v>
      </c>
      <c r="D46" s="2">
        <v>5</v>
      </c>
      <c r="E46" s="2">
        <v>8</v>
      </c>
      <c r="F46" s="5">
        <v>8</v>
      </c>
      <c r="G46" s="19">
        <f>D46*E46*F46</f>
        <v>320</v>
      </c>
      <c r="H46" s="4"/>
      <c r="I46" s="4"/>
      <c r="J46" s="4"/>
    </row>
    <row r="47" spans="1:10" ht="20" customHeight="1" x14ac:dyDescent="0.35">
      <c r="A47" s="18"/>
      <c r="B47" s="18"/>
      <c r="C47" s="10" t="s">
        <v>26</v>
      </c>
      <c r="D47" s="9">
        <v>3</v>
      </c>
      <c r="E47" s="9">
        <v>8</v>
      </c>
      <c r="F47" s="12">
        <v>5</v>
      </c>
      <c r="G47" s="17">
        <f>D47*E47*F47</f>
        <v>120</v>
      </c>
      <c r="H47" s="11"/>
      <c r="I47" s="11"/>
      <c r="J47" s="11"/>
    </row>
    <row r="48" spans="1:10" ht="22" customHeight="1" x14ac:dyDescent="0.35">
      <c r="A48" s="18"/>
      <c r="B48" s="18"/>
      <c r="C48" s="20" t="s">
        <v>50</v>
      </c>
      <c r="D48" s="18"/>
      <c r="E48" s="18"/>
      <c r="F48" s="18"/>
      <c r="G48" s="21">
        <f>SUM(G43,G44,G45,G46,G47)</f>
        <v>1864</v>
      </c>
      <c r="H48" s="21">
        <f>G48*0.1</f>
        <v>186.4</v>
      </c>
      <c r="I48" s="21">
        <f>G48*0.15</f>
        <v>279.59999999999997</v>
      </c>
      <c r="J48" s="22">
        <f>G48+H48+I48</f>
        <v>2330</v>
      </c>
    </row>
    <row r="50" spans="1:10" ht="20" customHeight="1" x14ac:dyDescent="0.35">
      <c r="A50" s="15" t="s">
        <v>63</v>
      </c>
      <c r="B50" s="16" t="s">
        <v>64</v>
      </c>
      <c r="C50" s="10" t="s">
        <v>49</v>
      </c>
      <c r="D50" s="9">
        <v>19</v>
      </c>
      <c r="E50" s="9">
        <v>8</v>
      </c>
      <c r="F50" s="12">
        <v>8</v>
      </c>
      <c r="G50" s="17">
        <f>D50*E50*F50</f>
        <v>1216</v>
      </c>
      <c r="H50" s="11"/>
      <c r="I50" s="11"/>
      <c r="J50" s="11"/>
    </row>
    <row r="51" spans="1:10" ht="20" customHeight="1" x14ac:dyDescent="0.35">
      <c r="A51" s="18"/>
      <c r="B51" s="18"/>
      <c r="C51" s="3" t="s">
        <v>32</v>
      </c>
      <c r="D51" s="2">
        <v>5</v>
      </c>
      <c r="E51" s="2">
        <v>8</v>
      </c>
      <c r="F51" s="5">
        <v>7</v>
      </c>
      <c r="G51" s="19">
        <f>D51*E51*F51</f>
        <v>280</v>
      </c>
      <c r="H51" s="4"/>
      <c r="I51" s="4"/>
      <c r="J51" s="4"/>
    </row>
    <row r="52" spans="1:10" ht="20" customHeight="1" x14ac:dyDescent="0.35">
      <c r="A52" s="18"/>
      <c r="B52" s="18"/>
      <c r="C52" s="10" t="s">
        <v>23</v>
      </c>
      <c r="D52" s="9">
        <v>3</v>
      </c>
      <c r="E52" s="9">
        <v>8</v>
      </c>
      <c r="F52" s="12">
        <v>8</v>
      </c>
      <c r="G52" s="17">
        <f>D52*E52*F52</f>
        <v>192</v>
      </c>
      <c r="H52" s="11"/>
      <c r="I52" s="11"/>
      <c r="J52" s="11"/>
    </row>
    <row r="53" spans="1:10" ht="22" customHeight="1" x14ac:dyDescent="0.35">
      <c r="A53" s="18"/>
      <c r="B53" s="18"/>
      <c r="C53" s="20" t="s">
        <v>50</v>
      </c>
      <c r="D53" s="18"/>
      <c r="E53" s="18"/>
      <c r="F53" s="18"/>
      <c r="G53" s="21">
        <f>SUM(G50,G51,G52)</f>
        <v>1688</v>
      </c>
      <c r="H53" s="21">
        <f>G53*0.1</f>
        <v>168.8</v>
      </c>
      <c r="I53" s="21">
        <f>G53*0.15</f>
        <v>253.2</v>
      </c>
      <c r="J53" s="22">
        <f>G53+H53+I53</f>
        <v>2110</v>
      </c>
    </row>
    <row r="55" spans="1:10" ht="28" customHeight="1" x14ac:dyDescent="0.35">
      <c r="A55" s="38" t="s">
        <v>65</v>
      </c>
      <c r="B55" s="34"/>
      <c r="C55" s="34"/>
      <c r="D55" s="34"/>
      <c r="E55" s="34"/>
      <c r="F55" s="34"/>
      <c r="G55" s="23">
        <f>G9+G15+G20+G27+G33+G41+G48+G53</f>
        <v>25440</v>
      </c>
      <c r="H55" s="23">
        <f>H9+H15+H20+H27+H33+H41+H48+H53</f>
        <v>2544.0000000000005</v>
      </c>
      <c r="I55" s="23">
        <f>I9+I15+I20+I27+I33+I41+I48+I53</f>
        <v>3815.9999999999995</v>
      </c>
      <c r="J55" s="24">
        <f>J9+J15+J20+J27+J33+J41+J48+J53</f>
        <v>31800</v>
      </c>
    </row>
    <row r="56" spans="1:10" ht="26" customHeight="1" x14ac:dyDescent="0.35">
      <c r="A56" s="36" t="s">
        <v>98</v>
      </c>
      <c r="B56" s="34"/>
      <c r="C56" s="34"/>
      <c r="D56" s="34"/>
      <c r="E56" s="34"/>
      <c r="F56" s="34"/>
      <c r="G56" s="25">
        <f>G55*278</f>
        <v>7072320</v>
      </c>
      <c r="H56" s="25">
        <f>H55*278</f>
        <v>707232.00000000012</v>
      </c>
      <c r="I56" s="25">
        <f>I55*278</f>
        <v>1060847.9999999998</v>
      </c>
      <c r="J56" s="25">
        <f>J55*278</f>
        <v>8840400</v>
      </c>
    </row>
    <row r="58" spans="1:10" ht="28" customHeight="1" x14ac:dyDescent="0.35">
      <c r="A58" s="35"/>
      <c r="B58" s="34"/>
      <c r="C58" s="34"/>
      <c r="D58" s="34"/>
      <c r="E58" s="34"/>
      <c r="F58" s="34"/>
      <c r="G58" s="34"/>
      <c r="H58" s="34"/>
      <c r="I58" s="34"/>
      <c r="J58" s="34"/>
    </row>
  </sheetData>
  <mergeCells count="5">
    <mergeCell ref="A1:J1"/>
    <mergeCell ref="A58:J58"/>
    <mergeCell ref="A56:F56"/>
    <mergeCell ref="A2:J2"/>
    <mergeCell ref="A55:F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showGridLines="0" topLeftCell="A12" zoomScaleNormal="100" workbookViewId="0">
      <selection activeCell="I13" sqref="I13"/>
    </sheetView>
  </sheetViews>
  <sheetFormatPr defaultRowHeight="14.5" x14ac:dyDescent="0.35"/>
  <cols>
    <col min="1" max="1" width="4" customWidth="1"/>
    <col min="2" max="2" width="22" customWidth="1"/>
    <col min="3" max="3" width="18" customWidth="1"/>
    <col min="4" max="4" width="8" customWidth="1"/>
    <col min="5" max="5" width="16" customWidth="1"/>
    <col min="6" max="6" width="14" customWidth="1"/>
    <col min="7" max="7" width="23.7265625" customWidth="1"/>
  </cols>
  <sheetData>
    <row r="1" spans="1:7" ht="34" customHeight="1" x14ac:dyDescent="0.35">
      <c r="A1" s="33" t="s">
        <v>66</v>
      </c>
      <c r="B1" s="34"/>
      <c r="C1" s="34"/>
      <c r="D1" s="34"/>
      <c r="E1" s="34"/>
      <c r="F1" s="34"/>
      <c r="G1" s="34"/>
    </row>
    <row r="2" spans="1:7" ht="18" customHeight="1" x14ac:dyDescent="0.35">
      <c r="A2" s="37" t="s">
        <v>67</v>
      </c>
      <c r="B2" s="34"/>
      <c r="C2" s="34"/>
      <c r="D2" s="34"/>
      <c r="E2" s="34"/>
      <c r="F2" s="34"/>
      <c r="G2" s="34"/>
    </row>
    <row r="3" spans="1:7" ht="8" customHeight="1" x14ac:dyDescent="0.35"/>
    <row r="4" spans="1:7" ht="20" customHeight="1" x14ac:dyDescent="0.35">
      <c r="A4" s="9">
        <v>1</v>
      </c>
      <c r="B4" s="26" t="s">
        <v>68</v>
      </c>
      <c r="C4" s="41" t="s">
        <v>69</v>
      </c>
      <c r="D4" s="34"/>
      <c r="E4" s="34"/>
      <c r="F4" s="34"/>
      <c r="G4" s="34"/>
    </row>
    <row r="5" spans="1:7" ht="20" customHeight="1" x14ac:dyDescent="0.35">
      <c r="A5" s="2">
        <v>2</v>
      </c>
      <c r="B5" s="27" t="s">
        <v>70</v>
      </c>
      <c r="C5" s="42" t="s">
        <v>71</v>
      </c>
      <c r="D5" s="34"/>
      <c r="E5" s="34"/>
      <c r="F5" s="34"/>
      <c r="G5" s="34"/>
    </row>
    <row r="6" spans="1:7" ht="20" customHeight="1" x14ac:dyDescent="0.35">
      <c r="A6" s="9">
        <v>3</v>
      </c>
      <c r="B6" s="26" t="s">
        <v>72</v>
      </c>
      <c r="C6" s="41" t="s">
        <v>73</v>
      </c>
      <c r="D6" s="34"/>
      <c r="E6" s="34"/>
      <c r="F6" s="34"/>
      <c r="G6" s="34"/>
    </row>
    <row r="7" spans="1:7" ht="20" customHeight="1" x14ac:dyDescent="0.35">
      <c r="A7" s="2">
        <v>4</v>
      </c>
      <c r="B7" s="27" t="s">
        <v>74</v>
      </c>
      <c r="C7" s="42" t="s">
        <v>99</v>
      </c>
      <c r="D7" s="34"/>
      <c r="E7" s="34"/>
      <c r="F7" s="34"/>
      <c r="G7" s="34"/>
    </row>
    <row r="8" spans="1:7" ht="20" customHeight="1" x14ac:dyDescent="0.35">
      <c r="A8" s="9">
        <v>5</v>
      </c>
      <c r="B8" s="26" t="s">
        <v>75</v>
      </c>
      <c r="C8" s="41" t="s">
        <v>76</v>
      </c>
      <c r="D8" s="34"/>
      <c r="E8" s="34"/>
      <c r="F8" s="34"/>
      <c r="G8" s="34"/>
    </row>
    <row r="9" spans="1:7" ht="20" customHeight="1" x14ac:dyDescent="0.35">
      <c r="A9" s="2">
        <v>6</v>
      </c>
      <c r="B9" s="27" t="s">
        <v>77</v>
      </c>
      <c r="C9" s="42" t="s">
        <v>78</v>
      </c>
      <c r="D9" s="34"/>
      <c r="E9" s="34"/>
      <c r="F9" s="34"/>
      <c r="G9" s="34"/>
    </row>
    <row r="10" spans="1:7" ht="20" customHeight="1" x14ac:dyDescent="0.35">
      <c r="A10" s="9">
        <v>7</v>
      </c>
      <c r="B10" s="26" t="s">
        <v>79</v>
      </c>
      <c r="C10" s="41" t="s">
        <v>80</v>
      </c>
      <c r="D10" s="34"/>
      <c r="E10" s="34"/>
      <c r="F10" s="34"/>
      <c r="G10" s="34"/>
    </row>
    <row r="11" spans="1:7" ht="20" customHeight="1" x14ac:dyDescent="0.35">
      <c r="A11" s="2">
        <v>8</v>
      </c>
      <c r="B11" s="27" t="s">
        <v>81</v>
      </c>
      <c r="C11" s="42" t="s">
        <v>82</v>
      </c>
      <c r="D11" s="34"/>
      <c r="E11" s="34"/>
      <c r="F11" s="34"/>
      <c r="G11" s="34"/>
    </row>
    <row r="12" spans="1:7" ht="20" customHeight="1" x14ac:dyDescent="0.35">
      <c r="A12" s="9">
        <v>9</v>
      </c>
      <c r="B12" s="26" t="s">
        <v>83</v>
      </c>
      <c r="C12" s="41" t="s">
        <v>84</v>
      </c>
      <c r="D12" s="34"/>
      <c r="E12" s="34"/>
      <c r="F12" s="34"/>
      <c r="G12" s="34"/>
    </row>
    <row r="13" spans="1:7" ht="20" customHeight="1" x14ac:dyDescent="0.35">
      <c r="A13" s="2">
        <v>10</v>
      </c>
      <c r="B13" s="27" t="s">
        <v>85</v>
      </c>
      <c r="C13" s="42" t="s">
        <v>86</v>
      </c>
      <c r="D13" s="34"/>
      <c r="E13" s="34"/>
      <c r="F13" s="34"/>
      <c r="G13" s="34"/>
    </row>
    <row r="14" spans="1:7" ht="12" customHeight="1" x14ac:dyDescent="0.35"/>
    <row r="15" spans="1:7" ht="38" customHeight="1" x14ac:dyDescent="0.35">
      <c r="A15" s="1" t="s">
        <v>2</v>
      </c>
      <c r="B15" s="1" t="s">
        <v>38</v>
      </c>
      <c r="C15" s="1" t="s">
        <v>39</v>
      </c>
      <c r="D15" s="1" t="s">
        <v>41</v>
      </c>
      <c r="E15" s="1" t="s">
        <v>43</v>
      </c>
      <c r="F15" s="1" t="s">
        <v>46</v>
      </c>
      <c r="G15" s="52" t="s">
        <v>87</v>
      </c>
    </row>
    <row r="16" spans="1:7" ht="22" customHeight="1" x14ac:dyDescent="0.35">
      <c r="A16" s="2">
        <v>1</v>
      </c>
      <c r="B16" s="3" t="s">
        <v>47</v>
      </c>
      <c r="C16" s="3" t="s">
        <v>48</v>
      </c>
      <c r="D16" s="2">
        <v>38</v>
      </c>
      <c r="E16" s="19">
        <f>'Cost Sheet'!G9</f>
        <v>3136</v>
      </c>
      <c r="F16" s="28">
        <f>'Cost Sheet'!J9</f>
        <v>3920</v>
      </c>
      <c r="G16" s="29">
        <f>'Cost Sheet'!J9*278</f>
        <v>1089760</v>
      </c>
    </row>
    <row r="17" spans="1:7" ht="22" customHeight="1" x14ac:dyDescent="0.35">
      <c r="A17" s="9">
        <v>2</v>
      </c>
      <c r="B17" s="10" t="s">
        <v>51</v>
      </c>
      <c r="C17" s="10" t="s">
        <v>52</v>
      </c>
      <c r="D17" s="9">
        <v>49</v>
      </c>
      <c r="E17" s="17">
        <f>'Cost Sheet'!G15</f>
        <v>3424</v>
      </c>
      <c r="F17" s="30">
        <f>'Cost Sheet'!J15</f>
        <v>4280</v>
      </c>
      <c r="G17" s="31">
        <f>'Cost Sheet'!J15*278</f>
        <v>1189840</v>
      </c>
    </row>
    <row r="18" spans="1:7" ht="22" customHeight="1" x14ac:dyDescent="0.35">
      <c r="A18" s="2">
        <v>3</v>
      </c>
      <c r="B18" s="3" t="s">
        <v>53</v>
      </c>
      <c r="C18" s="3" t="s">
        <v>54</v>
      </c>
      <c r="D18" s="2">
        <v>35</v>
      </c>
      <c r="E18" s="19">
        <f>'Cost Sheet'!G20</f>
        <v>3168</v>
      </c>
      <c r="F18" s="28">
        <f>'Cost Sheet'!J20</f>
        <v>3960</v>
      </c>
      <c r="G18" s="29">
        <f>'Cost Sheet'!J20*278</f>
        <v>1100880</v>
      </c>
    </row>
    <row r="19" spans="1:7" ht="22" customHeight="1" x14ac:dyDescent="0.35">
      <c r="A19" s="9">
        <v>4</v>
      </c>
      <c r="B19" s="10" t="s">
        <v>55</v>
      </c>
      <c r="C19" s="10" t="s">
        <v>56</v>
      </c>
      <c r="D19" s="9">
        <v>68</v>
      </c>
      <c r="E19" s="17">
        <f>'Cost Sheet'!G27</f>
        <v>6520</v>
      </c>
      <c r="F19" s="30">
        <f>'Cost Sheet'!J27</f>
        <v>8150</v>
      </c>
      <c r="G19" s="31">
        <f>'Cost Sheet'!J27*278</f>
        <v>2265700</v>
      </c>
    </row>
    <row r="20" spans="1:7" ht="22" customHeight="1" x14ac:dyDescent="0.35">
      <c r="A20" s="2">
        <v>5</v>
      </c>
      <c r="B20" s="3" t="s">
        <v>57</v>
      </c>
      <c r="C20" s="3" t="s">
        <v>58</v>
      </c>
      <c r="D20" s="2">
        <v>27</v>
      </c>
      <c r="E20" s="19">
        <f>'Cost Sheet'!G33</f>
        <v>2632</v>
      </c>
      <c r="F20" s="28">
        <f>'Cost Sheet'!J33</f>
        <v>3290</v>
      </c>
      <c r="G20" s="29">
        <f>'Cost Sheet'!J33*278</f>
        <v>914620</v>
      </c>
    </row>
    <row r="21" spans="1:7" ht="22" customHeight="1" x14ac:dyDescent="0.35">
      <c r="A21" s="9">
        <v>6</v>
      </c>
      <c r="B21" s="10" t="s">
        <v>59</v>
      </c>
      <c r="C21" s="10" t="s">
        <v>60</v>
      </c>
      <c r="D21" s="9">
        <v>29</v>
      </c>
      <c r="E21" s="17">
        <f>'Cost Sheet'!G41</f>
        <v>3008</v>
      </c>
      <c r="F21" s="30">
        <f>'Cost Sheet'!J41</f>
        <v>3760</v>
      </c>
      <c r="G21" s="31">
        <f>'Cost Sheet'!J41*278</f>
        <v>1045280</v>
      </c>
    </row>
    <row r="22" spans="1:7" ht="22" customHeight="1" x14ac:dyDescent="0.35">
      <c r="A22" s="2">
        <v>7</v>
      </c>
      <c r="B22" s="3" t="s">
        <v>61</v>
      </c>
      <c r="C22" s="3" t="s">
        <v>62</v>
      </c>
      <c r="D22" s="2">
        <v>14</v>
      </c>
      <c r="E22" s="19">
        <f>'Cost Sheet'!G48</f>
        <v>1864</v>
      </c>
      <c r="F22" s="28">
        <f>'Cost Sheet'!J48</f>
        <v>2330</v>
      </c>
      <c r="G22" s="29">
        <f>'Cost Sheet'!J48*278</f>
        <v>647740</v>
      </c>
    </row>
    <row r="23" spans="1:7" ht="22" customHeight="1" x14ac:dyDescent="0.35">
      <c r="A23" s="9">
        <v>8</v>
      </c>
      <c r="B23" s="10" t="s">
        <v>63</v>
      </c>
      <c r="C23" s="10" t="s">
        <v>64</v>
      </c>
      <c r="D23" s="9">
        <v>19</v>
      </c>
      <c r="E23" s="17">
        <f>'Cost Sheet'!G53</f>
        <v>1688</v>
      </c>
      <c r="F23" s="30">
        <f>'Cost Sheet'!J53</f>
        <v>2110</v>
      </c>
      <c r="G23" s="31">
        <f>'Cost Sheet'!J53*278</f>
        <v>586580</v>
      </c>
    </row>
    <row r="24" spans="1:7" ht="28" customHeight="1" x14ac:dyDescent="0.35">
      <c r="A24" s="49" t="s">
        <v>65</v>
      </c>
      <c r="B24" s="34"/>
      <c r="C24" s="34"/>
      <c r="D24" s="34"/>
      <c r="E24" s="24">
        <f>SUM(E16:E23)</f>
        <v>25440</v>
      </c>
      <c r="F24" s="24">
        <f>SUM(F16:F23)</f>
        <v>31800</v>
      </c>
      <c r="G24" s="32">
        <f>SUM(G16:G23)</f>
        <v>8840400</v>
      </c>
    </row>
    <row r="26" spans="1:7" ht="26" customHeight="1" x14ac:dyDescent="0.35">
      <c r="A26" s="45" t="s">
        <v>88</v>
      </c>
      <c r="B26" s="34"/>
      <c r="C26" s="34"/>
      <c r="D26" s="34"/>
      <c r="E26" s="34"/>
      <c r="F26" s="34"/>
      <c r="G26" s="34"/>
    </row>
    <row r="27" spans="1:7" ht="22" customHeight="1" x14ac:dyDescent="0.35">
      <c r="A27" s="43" t="s">
        <v>89</v>
      </c>
      <c r="B27" s="34"/>
      <c r="C27" s="34"/>
      <c r="D27" s="34"/>
      <c r="E27" s="46">
        <f>'Cost Sheet'!G55</f>
        <v>25440</v>
      </c>
      <c r="F27" s="34"/>
      <c r="G27" s="34"/>
    </row>
    <row r="28" spans="1:7" ht="22" customHeight="1" x14ac:dyDescent="0.35">
      <c r="A28" s="47" t="s">
        <v>90</v>
      </c>
      <c r="B28" s="34"/>
      <c r="C28" s="34"/>
      <c r="D28" s="34"/>
      <c r="E28" s="48">
        <f>'Cost Sheet'!H55</f>
        <v>2544.0000000000005</v>
      </c>
      <c r="F28" s="34"/>
      <c r="G28" s="34"/>
    </row>
    <row r="29" spans="1:7" ht="22" customHeight="1" x14ac:dyDescent="0.35">
      <c r="A29" s="43" t="s">
        <v>91</v>
      </c>
      <c r="B29" s="34"/>
      <c r="C29" s="34"/>
      <c r="D29" s="34"/>
      <c r="E29" s="46">
        <f>'Cost Sheet'!I55</f>
        <v>3815.9999999999995</v>
      </c>
      <c r="F29" s="34"/>
      <c r="G29" s="34"/>
    </row>
    <row r="30" spans="1:7" ht="22" customHeight="1" x14ac:dyDescent="0.35">
      <c r="A30" s="47" t="s">
        <v>92</v>
      </c>
      <c r="B30" s="34"/>
      <c r="C30" s="34"/>
      <c r="D30" s="34"/>
      <c r="E30" s="48">
        <f>'Cost Sheet'!J55</f>
        <v>31800</v>
      </c>
      <c r="F30" s="34"/>
      <c r="G30" s="34"/>
    </row>
    <row r="31" spans="1:7" ht="22" customHeight="1" x14ac:dyDescent="0.35">
      <c r="A31" s="43" t="s">
        <v>93</v>
      </c>
      <c r="B31" s="34"/>
      <c r="C31" s="34"/>
      <c r="D31" s="34"/>
      <c r="E31" s="51">
        <f>'Cost Sheet'!J55*278</f>
        <v>8840400</v>
      </c>
      <c r="F31" s="34"/>
      <c r="G31" s="34"/>
    </row>
    <row r="32" spans="1:7" ht="22" customHeight="1" x14ac:dyDescent="0.35">
      <c r="A32" s="47" t="s">
        <v>94</v>
      </c>
      <c r="B32" s="34"/>
      <c r="C32" s="34"/>
      <c r="D32" s="34"/>
      <c r="E32" s="50">
        <f>'Cost Sheet'!H55/'Cost Sheet'!G55</f>
        <v>0.10000000000000002</v>
      </c>
      <c r="F32" s="34"/>
      <c r="G32" s="34"/>
    </row>
    <row r="33" spans="1:7" ht="22" customHeight="1" x14ac:dyDescent="0.35">
      <c r="A33" s="43" t="s">
        <v>95</v>
      </c>
      <c r="B33" s="34"/>
      <c r="C33" s="34"/>
      <c r="D33" s="34"/>
      <c r="E33" s="44">
        <f>'Cost Sheet'!I55/'Cost Sheet'!G55</f>
        <v>0.15</v>
      </c>
      <c r="F33" s="34"/>
      <c r="G33" s="34"/>
    </row>
    <row r="34" spans="1:7" ht="22" customHeight="1" x14ac:dyDescent="0.35">
      <c r="A34" s="47" t="s">
        <v>96</v>
      </c>
      <c r="B34" s="34"/>
      <c r="C34" s="34"/>
      <c r="D34" s="34"/>
      <c r="E34" s="48">
        <f>'Cost Sheet'!J55/239</f>
        <v>133.05439330543933</v>
      </c>
      <c r="F34" s="34"/>
      <c r="G34" s="34"/>
    </row>
    <row r="36" spans="1:7" ht="28" customHeight="1" x14ac:dyDescent="0.35">
      <c r="A36" s="40" t="s">
        <v>97</v>
      </c>
      <c r="B36" s="34"/>
      <c r="C36" s="34"/>
      <c r="D36" s="34"/>
      <c r="E36" s="34"/>
      <c r="F36" s="34"/>
      <c r="G36" s="34"/>
    </row>
  </sheetData>
  <mergeCells count="31">
    <mergeCell ref="A34:D34"/>
    <mergeCell ref="A30:D30"/>
    <mergeCell ref="A24:D24"/>
    <mergeCell ref="C9:G9"/>
    <mergeCell ref="E32:G32"/>
    <mergeCell ref="E28:G28"/>
    <mergeCell ref="E31:G31"/>
    <mergeCell ref="A29:D29"/>
    <mergeCell ref="A28:D28"/>
    <mergeCell ref="C4:G4"/>
    <mergeCell ref="A31:D31"/>
    <mergeCell ref="E27:G27"/>
    <mergeCell ref="C10:G10"/>
    <mergeCell ref="C6:G6"/>
    <mergeCell ref="C5:G5"/>
    <mergeCell ref="A36:G36"/>
    <mergeCell ref="A1:G1"/>
    <mergeCell ref="C12:G12"/>
    <mergeCell ref="C11:G11"/>
    <mergeCell ref="C8:G8"/>
    <mergeCell ref="C7:G7"/>
    <mergeCell ref="A27:D27"/>
    <mergeCell ref="E33:G33"/>
    <mergeCell ref="A26:G26"/>
    <mergeCell ref="A2:G2"/>
    <mergeCell ref="A33:D33"/>
    <mergeCell ref="C13:G13"/>
    <mergeCell ref="E29:G29"/>
    <mergeCell ref="A32:D32"/>
    <mergeCell ref="E34:G34"/>
    <mergeCell ref="E30:G3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 Sheet</vt:lpstr>
      <vt:lpstr>Cost Sheet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rafy</cp:lastModifiedBy>
  <dcterms:created xsi:type="dcterms:W3CDTF">2026-06-17T11:31:32Z</dcterms:created>
  <dcterms:modified xsi:type="dcterms:W3CDTF">2026-06-17T12:08:06Z</dcterms:modified>
</cp:coreProperties>
</file>